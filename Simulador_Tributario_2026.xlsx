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Declaracion renta\2026\"/>
    </mc:Choice>
  </mc:AlternateContent>
  <xr:revisionPtr revIDLastSave="0" documentId="13_ncr:1_{1CE80F0A-285C-4FD3-B529-88A3F2BEBA5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ulador Renta 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8" i="1" l="1"/>
  <c r="B110" i="1"/>
  <c r="B74" i="1"/>
  <c r="B71" i="1"/>
  <c r="B60" i="1"/>
  <c r="B51" i="1"/>
  <c r="B43" i="1"/>
  <c r="B37" i="1"/>
  <c r="B32" i="1"/>
  <c r="B22" i="1"/>
  <c r="B23" i="1" s="1"/>
  <c r="B16" i="1"/>
  <c r="B144" i="1" s="1"/>
  <c r="B120" i="1" l="1"/>
  <c r="B126" i="1" s="1"/>
  <c r="B24" i="1"/>
  <c r="B57" i="1"/>
  <c r="B131" i="1"/>
  <c r="B25" i="1"/>
  <c r="B26" i="1" s="1"/>
  <c r="B133" i="1"/>
  <c r="B134" i="1" l="1"/>
  <c r="B132" i="1"/>
  <c r="B27" i="1"/>
  <c r="B135" i="1"/>
  <c r="B46" i="1"/>
  <c r="B55" i="1"/>
  <c r="B140" i="1" l="1"/>
  <c r="B62" i="1"/>
  <c r="B66" i="1"/>
  <c r="B141" i="1" s="1"/>
  <c r="B145" i="1" s="1"/>
  <c r="B146" i="1" s="1"/>
  <c r="B147" i="1" s="1"/>
  <c r="B67" i="1" l="1"/>
  <c r="B76" i="1" s="1"/>
  <c r="B79" i="1" s="1"/>
  <c r="B80" i="1" s="1"/>
  <c r="B92" i="1" s="1"/>
  <c r="B94" i="1" s="1"/>
  <c r="B125" i="1" s="1"/>
  <c r="B127" i="1" l="1"/>
  <c r="B137" i="1" s="1"/>
  <c r="B128" i="1"/>
</calcChain>
</file>

<file path=xl/sharedStrings.xml><?xml version="1.0" encoding="utf-8"?>
<sst xmlns="http://schemas.openxmlformats.org/spreadsheetml/2006/main" count="188" uniqueCount="185">
  <si>
    <t>SIMULADOR DECLARACIÓN DE RENTA — PERSONA NATURAL (Formulario 210)</t>
  </si>
  <si>
    <t>Col. C = casilla equivalente en el Formulario 210 de la DIAN.</t>
  </si>
  <si>
    <t>Dato manual — llénalo según tu situación</t>
  </si>
  <si>
    <t>Cálculo automático — no lo edites, se actualiza solo</t>
  </si>
  <si>
    <t>PARÁMETROS DEL AÑO GRAVABLE</t>
  </si>
  <si>
    <t>Valor UVT del año gravable</t>
  </si>
  <si>
    <t>Ajustar cada año según valor publicado por la DIAN</t>
  </si>
  <si>
    <t>Año gravable</t>
  </si>
  <si>
    <t>Número de dependientes económicos (máx. 4)</t>
  </si>
  <si>
    <t>Art. 336-1 E.T.</t>
  </si>
  <si>
    <t>1. RENTAS DE TRABAJO  (Casillas 32-42)</t>
  </si>
  <si>
    <t>Salario mensual bruto</t>
  </si>
  <si>
    <t>Promedio si varía mes a mes</t>
  </si>
  <si>
    <t>Meses trabajados en el año</t>
  </si>
  <si>
    <t>Otros ingresos laborales en el año (bonos, comisiones, primas extralegales, etc.)</t>
  </si>
  <si>
    <t>Cualquier ingreso laboral adicional al salario mensual</t>
  </si>
  <si>
    <t>Total ingresos brutos de trabajo</t>
  </si>
  <si>
    <t>Csl. 32</t>
  </si>
  <si>
    <t>Aportes obligatorios a seguridad social (se restan como INCRNGO)</t>
  </si>
  <si>
    <t>% aporte obligatorio salud</t>
  </si>
  <si>
    <t>% aporte obligatorio pensión</t>
  </si>
  <si>
    <t>% aporte fondo de solidaridad pensional</t>
  </si>
  <si>
    <t>Aplica si IBC &gt; 4 SMMLV; ajustar según tu caso</t>
  </si>
  <si>
    <t>Base de cotización mensual (IBC = 70% del salario)</t>
  </si>
  <si>
    <t>Regla general del IBC para asalariados</t>
  </si>
  <si>
    <t>Aporte a salud en el año</t>
  </si>
  <si>
    <t>Aporte a pensión en el año</t>
  </si>
  <si>
    <t>Aporte a fondo de solidaridad pensional en el año</t>
  </si>
  <si>
    <t>Total aportes obligatorios (Ingresos no constitutivos de renta)</t>
  </si>
  <si>
    <t>Csl. 33</t>
  </si>
  <si>
    <t>RENTA LÍQUIDA DE TRABAJO</t>
  </si>
  <si>
    <t>Csl. 34</t>
  </si>
  <si>
    <t>2. RENTAS DE CAPITAL  (Casillas 43-46)</t>
  </si>
  <si>
    <t>Ingresos brutos de capital en el año (intereses, arriendos, etc.)</t>
  </si>
  <si>
    <t>Csl. 43</t>
  </si>
  <si>
    <t>Costos y deducciones procedentes de capital</t>
  </si>
  <si>
    <t>Csl. 45</t>
  </si>
  <si>
    <t>RENTA LÍQUIDA DE CAPITAL</t>
  </si>
  <si>
    <t>Csl. 46</t>
  </si>
  <si>
    <t>3. RENTAS NO LABORALES  (Casillas 74-78)</t>
  </si>
  <si>
    <t>Ingresos brutos no laborales en el año (negocios propios, rendimientos, bonos trasladados, etc.)</t>
  </si>
  <si>
    <t>Csl. 74</t>
  </si>
  <si>
    <t>Costos y gastos asociados</t>
  </si>
  <si>
    <t>Csl. 76</t>
  </si>
  <si>
    <t>RENTA LÍQUIDA NO LABORAL</t>
  </si>
  <si>
    <t>Csl. 78</t>
  </si>
  <si>
    <t>Componente inflacionario de rendimientos financieros (informativo — Art. 38-41 E.T.)</t>
  </si>
  <si>
    <t>Aplica solo a la parte de tus ingresos no laborales que sea rendimiento financiero (intereses de CDT, cuentas, bonos, fondos vigilados por la Superfinanciera). No constituye renta para personas naturales no obligadas a llevar contabilidad. Calculado aquí solo como referencia — no se resta automáticamente arriba.</t>
  </si>
  <si>
    <t>Rendimientos financieros brutos incluidos en tus ingresos no laborales</t>
  </si>
  <si>
    <t>Parte de la Csl. 74 que corresponde a intereses/rendimientos, si aplica</t>
  </si>
  <si>
    <t>% componente inflacionario del año gravable</t>
  </si>
  <si>
    <t>AG2025 = 55,43% (Decreto 898 de 2026). Para años futuros aún no publicados, ver nota abajo.</t>
  </si>
  <si>
    <t>Componente inflacionario (parte NO constitutiva de renta)</t>
  </si>
  <si>
    <t>Si decides aplicarlo, réstalo tú mismo del campo de ingresos no laborales de arriba</t>
  </si>
  <si>
    <t>RENTA LÍQUIDA CÉDULA GENERAL</t>
  </si>
  <si>
    <t>RENTA LÍQUIDA CÉDULA GENERAL (trabajo + capital + no laboral)</t>
  </si>
  <si>
    <t>Csl. 91</t>
  </si>
  <si>
    <t>4. RENTAS EXENTAS Y DEDUCCIONES  —  sujetas al límite del 40% / 1.340 UVT  (Csl. 35-41)</t>
  </si>
  <si>
    <t>Aportes voluntarios AFC/FVP/AVC por nómina en el año</t>
  </si>
  <si>
    <t>Lo que tu empleador traslada directamente al fondo</t>
  </si>
  <si>
    <t>Aportes voluntarios propios/externos al fondo en el año</t>
  </si>
  <si>
    <t>Lo que tú aportas por fuera de nómina</t>
  </si>
  <si>
    <t>Total aportes voluntarios AFC/FVP/AVC</t>
  </si>
  <si>
    <t>Csl. 35</t>
  </si>
  <si>
    <t>Intereses de vivienda / ICETEX (deducción)</t>
  </si>
  <si>
    <t>Csl. 38</t>
  </si>
  <si>
    <t>% renta exenta de trabajo (Art. 206-10 E.T.)</t>
  </si>
  <si>
    <t>Tope renta exenta en UVT/año</t>
  </si>
  <si>
    <t>Renta exenta de trabajo (25%, tope 790 UVT)</t>
  </si>
  <si>
    <t>Csl. 36</t>
  </si>
  <si>
    <t>Tope deducción 10% en UVT×12/año</t>
  </si>
  <si>
    <t>Deducción dependiente: 10% ingresos brutos trabajo (tope 32 UVT×12)</t>
  </si>
  <si>
    <t>Csl. 39</t>
  </si>
  <si>
    <t>Pagos por pólizas de salud / medicina prepagada (propio, cónyuge, hijos)</t>
  </si>
  <si>
    <t>Solo el pago efectivo del año; el tope de 16 UVT/mes se aplica en la siguiente fila</t>
  </si>
  <si>
    <t>Tope deducción salud en UVT/mes</t>
  </si>
  <si>
    <t>Deducción por pólizas de salud (tope 16 UVT × mes)</t>
  </si>
  <si>
    <t>Otras deducciones imputables adicionales (si tienes alguna más)</t>
  </si>
  <si>
    <t>Subtotal rentas exentas y deducciones (sin aplicar límite)</t>
  </si>
  <si>
    <t>% límite global (Art. 336 num. 3 E.T.)</t>
  </si>
  <si>
    <t>Tope límite global en UVT/año</t>
  </si>
  <si>
    <t>Límite aplicable = MIN(40% renta líq. cédula general, 1.340 UVT)</t>
  </si>
  <si>
    <t>RENTAS EXENTAS Y DEDUCCIONES LIMITADAS</t>
  </si>
  <si>
    <t>Csl. 41</t>
  </si>
  <si>
    <t>5. DEDUCCIONES QUE NO ESTÁN SUJETAS AL LÍMITE DEL 40% / 1.340 UVT</t>
  </si>
  <si>
    <t>UVT por dependiente/año (Art. 336-1 E.T.)</t>
  </si>
  <si>
    <t>Deducción por dependientes (72 UVT × núm. dependientes, máx. 4)</t>
  </si>
  <si>
    <t>Csl. 139</t>
  </si>
  <si>
    <t>NO compite por el cupo del 40%/1.340 UVT — se resta aparte</t>
  </si>
  <si>
    <t>Total compras del año soportadas con FACTURA ELECTRÓNICA (pagadas por medio electrónico)</t>
  </si>
  <si>
    <t>Solo compras no llevadas ya como costo/deducción/INCRNGO/renta exenta en otro renglón</t>
  </si>
  <si>
    <t>Tope deducción factura electrónica en UVT/año</t>
  </si>
  <si>
    <t>Deducción 1% compras con factura electrónica (tope 240 UVT)</t>
  </si>
  <si>
    <t>Csl. 28</t>
  </si>
  <si>
    <t>NO compite por el cupo del 40%/1.340 UVT — se resta aparte (Art. 336 num. 5 E.T.)</t>
  </si>
  <si>
    <t>TOTAL RENTAS EXENTAS Y DEDUCCIONES (limitadas + dependientes + factura electrónica)</t>
  </si>
  <si>
    <t>Csl. 92</t>
  </si>
  <si>
    <t>RENTA LÍQUIDA ORDINARIA CÉDULA GENERAL</t>
  </si>
  <si>
    <t>Csl. 93</t>
  </si>
  <si>
    <t>Renta líquida gravable en UVT</t>
  </si>
  <si>
    <t>TABLA DE TARIFAS — IMPUESTO DE RENTA PERSONAS NATURALES (Art. 241 E.T.)</t>
  </si>
  <si>
    <t>Rango (UVT)</t>
  </si>
  <si>
    <t>Tarifa marginal</t>
  </si>
  <si>
    <t>Fórmula</t>
  </si>
  <si>
    <t>0 - 1090</t>
  </si>
  <si>
    <t>0</t>
  </si>
  <si>
    <t>&gt; 1090 - 1700</t>
  </si>
  <si>
    <t>(Base - 1090) x 19%</t>
  </si>
  <si>
    <t>&gt; 1700 - 4100</t>
  </si>
  <si>
    <t>(Base - 1700) x 28% + 116</t>
  </si>
  <si>
    <t>&gt; 4100 - 8670</t>
  </si>
  <si>
    <t>(Base - 4100) x 33% + 788</t>
  </si>
  <si>
    <t>&gt; 8670 - 18970</t>
  </si>
  <si>
    <t>(Base - 8670) x 35% + 2296</t>
  </si>
  <si>
    <t>&gt; 18970 - 31000</t>
  </si>
  <si>
    <t>(Base - 18970) x 37% + 5901</t>
  </si>
  <si>
    <t>&gt; 31000 - En adelante</t>
  </si>
  <si>
    <t>(Base - 31000) x 39% + 10352</t>
  </si>
  <si>
    <t>Impuesto en UVT (aplicando tabla progresiva)</t>
  </si>
  <si>
    <t>Impuesto de ganancias ocasionales (si aplica)</t>
  </si>
  <si>
    <t>Csl. 127</t>
  </si>
  <si>
    <t>IMPUESTO NETO DE RENTA</t>
  </si>
  <si>
    <t>Csl. 126/129</t>
  </si>
  <si>
    <t>RETENCIONES EN LA FUENTE Y ANTICIPOS  (Csl. 130-132)</t>
  </si>
  <si>
    <t>Retención mensual practicada (nómina y otros)</t>
  </si>
  <si>
    <t>Retención en la fuente — Enero</t>
  </si>
  <si>
    <t>Retención en la fuente — Febrero</t>
  </si>
  <si>
    <t>Retención en la fuente — Marzo</t>
  </si>
  <si>
    <t>Retención en la fuente — Abril</t>
  </si>
  <si>
    <t>Retención en la fuente — Mayo</t>
  </si>
  <si>
    <t>Retención en la fuente — Junio</t>
  </si>
  <si>
    <t>Retención en la fuente — Julio</t>
  </si>
  <si>
    <t>Retención en la fuente — Agosto</t>
  </si>
  <si>
    <t>Retención en la fuente — Septiembre</t>
  </si>
  <si>
    <t>Retención en la fuente — Octubre</t>
  </si>
  <si>
    <t>Retención en la fuente — Noviembre</t>
  </si>
  <si>
    <t>Retención en la fuente — Diciembre</t>
  </si>
  <si>
    <t>Subtotal retención mensual (12 meses)</t>
  </si>
  <si>
    <t>Retenciones adicionales por otros conceptos (fuera de la nómina mensual)</t>
  </si>
  <si>
    <t>Ej. retenciones por rendimientos financieros, honorarios, ventas de activos u otros pagos que no van en el detalle mes a mes.</t>
  </si>
  <si>
    <t>Retención adicional 1 — concepto/fuente</t>
  </si>
  <si>
    <t>Retención adicional 2 — concepto/fuente</t>
  </si>
  <si>
    <t>Retención adicional 3 — concepto/fuente</t>
  </si>
  <si>
    <t>Retención adicional 4 — concepto/fuente</t>
  </si>
  <si>
    <t>Subtotal retenciones adicionales</t>
  </si>
  <si>
    <t>TOTAL RETENCIONES EN LA FUENTE DEL AÑO</t>
  </si>
  <si>
    <t>Csl. 132</t>
  </si>
  <si>
    <t>Saldo a favor del año anterior sin solicitud de devolución/compensación</t>
  </si>
  <si>
    <t>Csl. 131</t>
  </si>
  <si>
    <t>Anticipo renta año gravable anterior</t>
  </si>
  <si>
    <t>Csl. 130</t>
  </si>
  <si>
    <t>LIQUIDACIÓN FINAL</t>
  </si>
  <si>
    <t>Total impuesto a cargo</t>
  </si>
  <si>
    <t>Csl. 129</t>
  </si>
  <si>
    <t>Total retenciones + anticipos + saldo a favor anterior</t>
  </si>
  <si>
    <t>SALDO A PAGAR</t>
  </si>
  <si>
    <t>Csl. 134</t>
  </si>
  <si>
    <t>SALDO A FAVOR (si aplica)</t>
  </si>
  <si>
    <t>Csl. 137</t>
  </si>
  <si>
    <t>MÉTRICAS ADICIONALES PARA TU PLANEACIÓN PERSONAL</t>
  </si>
  <si>
    <t>Ingreso bruto mensual promedio (trabajo + capital + no laboral)</t>
  </si>
  <si>
    <t>Aportes obligatorios mensuales promedio</t>
  </si>
  <si>
    <t>Aporte voluntario a fondo de pensión mensual promedio</t>
  </si>
  <si>
    <t>Retención en la fuente mensual promedio</t>
  </si>
  <si>
    <t>SALARIO NETO MENSUAL PROMEDIO RECIBIDO</t>
  </si>
  <si>
    <t>Ingreso bruto mensual - aportes obligatorios - aporte voluntario - retención</t>
  </si>
  <si>
    <t>AHORRO MENSUAL SUGERIDO PARA CUBRIR EL SALDO A PAGAR</t>
  </si>
  <si>
    <t>Aparta este valor cada mes para no tener sorpresas al declarar</t>
  </si>
  <si>
    <t>Optimización del aporte voluntario a fondo de pensión (AFC/FVP/AVC)</t>
  </si>
  <si>
    <t>Deducciones/exentas ya usadas sin contar aporte voluntario</t>
  </si>
  <si>
    <t>Espacio disponible dentro del límite 40%/1.340 UVT para aporte voluntario</t>
  </si>
  <si>
    <t>Tope adicional aporte voluntario en UVT/año (Art. 126-1 E.T.)</t>
  </si>
  <si>
    <t>Tope adicional aporte voluntario (% de ingresos totales)</t>
  </si>
  <si>
    <t>Tope absoluto de aporte voluntario deducible (menor entre 3.800 UVT y 30% ingresos)</t>
  </si>
  <si>
    <t>Aporte voluntario ÓPTIMO recomendado (llena el cupo disponible)</t>
  </si>
  <si>
    <t>Faltante por trasladar al fondo voluntario para llegar al óptimo</t>
  </si>
  <si>
    <t>Faltante mensual a trasladar (si repartes lo que resta del año)</t>
  </si>
  <si>
    <t>NOTAS Y SUPUESTOS</t>
  </si>
  <si>
    <t>- IBC (base de cotización) para salud/pensión se calcula como 70% del salario mensual, regla estándar para asalariados.</t>
  </si>
  <si>
    <t>- La deducción del 1% por compras con factura electrónica y la deducción por dependientes NO están sujetas al límite del 40%/1.340 UVT (Art. 336 num. 3 y 5 E.T.) — así lo confirma tu declaración presentada (Casillas 28 y 139 se suman aparte de la Casilla 41).</t>
  </si>
  <si>
    <t>- El límite del 40%/1.340 UVT se calcula sobre la renta líquida de la cédula general (Casilla 91).</t>
  </si>
  <si>
    <t>- Este simulador cubre la cédula general (trabajo, capital, no laboral). No incluye cédulas de pensiones ni dividendos.</t>
  </si>
  <si>
    <t>- Verifica cada año el valor de la UVT y los topes en UVT, ya que la ley puede modificarlos.</t>
  </si>
  <si>
    <t>- Este archivo es una herramienta de apoyo personal, no reemplaza asesoría de un contador o la declaración oficial ante la DIAN.</t>
  </si>
  <si>
    <t>- Componente inflacionario: el % para el año gravable 2025 ya está publicado (55,43%, Decreto 898 de 2026). Para un año futuro que aún no tenga decreto, MinHacienda lo calcula cada año con base en la variación del IPC (DANE) frente a la tasa DTF/rentabilidad promedio de los títulos del año — se publica típicamente entre abril y julio del año siguiente al gravable. Mientras no salga el decreto, deja el campo en blanco o usa el % del año anterior como referencia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</si>
</sst>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;&quot;($&quot;#,##0\);\-"/>
    <numFmt numFmtId="166" formatCode="0.0%"/>
    <numFmt numFmtId="167" formatCode="#,##0.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8"/>
      <color rgb="FF80808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3" borderId="1" xfId="0" applyFill="1" applyBorder="1"/>
    <xf numFmtId="0" fontId="3" fillId="0" borderId="0" xfId="0" applyFont="1"/>
    <xf numFmtId="0" fontId="0" fillId="4" borderId="1" xfId="0" applyFill="1" applyBorder="1"/>
    <xf numFmtId="0" fontId="4" fillId="0" borderId="0" xfId="0" applyFont="1"/>
    <xf numFmtId="164" fontId="6" fillId="3" borderId="1" xfId="0" applyNumberFormat="1" applyFont="1" applyFill="1" applyBorder="1"/>
    <xf numFmtId="1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7" fillId="0" borderId="1" xfId="0" applyNumberFormat="1" applyFont="1" applyBorder="1"/>
    <xf numFmtId="0" fontId="2" fillId="0" borderId="0" xfId="0" applyFont="1" applyAlignment="1">
      <alignment horizontal="center"/>
    </xf>
    <xf numFmtId="166" fontId="6" fillId="3" borderId="1" xfId="0" applyNumberFormat="1" applyFont="1" applyFill="1" applyBorder="1"/>
    <xf numFmtId="165" fontId="8" fillId="0" borderId="1" xfId="0" applyNumberFormat="1" applyFont="1" applyBorder="1"/>
    <xf numFmtId="165" fontId="7" fillId="7" borderId="1" xfId="0" applyNumberFormat="1" applyFont="1" applyFill="1" applyBorder="1"/>
    <xf numFmtId="167" fontId="8" fillId="0" borderId="1" xfId="0" applyNumberFormat="1" applyFont="1" applyBorder="1"/>
    <xf numFmtId="166" fontId="4" fillId="0" borderId="0" xfId="0" applyNumberFormat="1" applyFont="1"/>
    <xf numFmtId="0" fontId="2" fillId="0" borderId="0" xfId="0" applyFont="1"/>
    <xf numFmtId="0" fontId="5" fillId="5" borderId="0" xfId="0" applyFont="1" applyFill="1" applyAlignment="1">
      <alignment horizontal="left" vertical="center" indent="1"/>
    </xf>
    <xf numFmtId="0" fontId="3" fillId="6" borderId="0" xfId="0" applyFont="1" applyFill="1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showGridLines="0" tabSelected="1" zoomScaleNormal="100" workbookViewId="0">
      <pane ySplit="3" topLeftCell="A112" activePane="bottomLeft" state="frozen"/>
      <selection pane="bottomLeft" activeCell="B51" sqref="B51"/>
    </sheetView>
  </sheetViews>
  <sheetFormatPr defaultColWidth="8.7109375" defaultRowHeight="15" x14ac:dyDescent="0.25"/>
  <cols>
    <col min="1" max="1" width="62" customWidth="1"/>
    <col min="2" max="2" width="18" customWidth="1"/>
    <col min="3" max="3" width="16" customWidth="1"/>
    <col min="4" max="4" width="3" customWidth="1"/>
    <col min="5" max="5" width="34" customWidth="1"/>
    <col min="6" max="6" width="18" customWidth="1"/>
  </cols>
  <sheetData>
    <row r="1" spans="1:5" ht="25.5" customHeight="1" x14ac:dyDescent="0.25">
      <c r="A1" s="19" t="s">
        <v>0</v>
      </c>
      <c r="B1" s="19"/>
      <c r="C1" s="19"/>
    </row>
    <row r="3" spans="1:5" ht="15" customHeight="1" x14ac:dyDescent="0.25">
      <c r="A3" s="1" t="s">
        <v>1</v>
      </c>
    </row>
    <row r="4" spans="1:5" ht="15" customHeight="1" x14ac:dyDescent="0.25">
      <c r="A4" s="2"/>
      <c r="B4" s="3" t="s">
        <v>2</v>
      </c>
    </row>
    <row r="5" spans="1:5" ht="15" customHeight="1" x14ac:dyDescent="0.25">
      <c r="A5" s="4"/>
      <c r="B5" s="5" t="s">
        <v>3</v>
      </c>
    </row>
    <row r="7" spans="1:5" ht="19.5" customHeight="1" x14ac:dyDescent="0.25">
      <c r="A7" s="17" t="s">
        <v>4</v>
      </c>
      <c r="B7" s="17"/>
      <c r="C7" s="17"/>
    </row>
    <row r="8" spans="1:5" ht="15" customHeight="1" x14ac:dyDescent="0.25">
      <c r="A8" s="5" t="s">
        <v>5</v>
      </c>
      <c r="B8" s="6">
        <v>52374</v>
      </c>
      <c r="E8" s="1" t="s">
        <v>6</v>
      </c>
    </row>
    <row r="9" spans="1:5" ht="15" customHeight="1" x14ac:dyDescent="0.25">
      <c r="A9" s="5" t="s">
        <v>7</v>
      </c>
      <c r="B9" s="7">
        <v>2026</v>
      </c>
    </row>
    <row r="10" spans="1:5" ht="15" customHeight="1" x14ac:dyDescent="0.25">
      <c r="A10" s="5" t="s">
        <v>8</v>
      </c>
      <c r="B10" s="7">
        <v>2</v>
      </c>
      <c r="E10" s="1" t="s">
        <v>9</v>
      </c>
    </row>
    <row r="12" spans="1:5" ht="19.5" customHeight="1" x14ac:dyDescent="0.25">
      <c r="A12" s="17" t="s">
        <v>10</v>
      </c>
      <c r="B12" s="17"/>
      <c r="C12" s="17"/>
    </row>
    <row r="13" spans="1:5" ht="15" customHeight="1" x14ac:dyDescent="0.25">
      <c r="A13" s="5" t="s">
        <v>11</v>
      </c>
      <c r="B13" s="8">
        <v>22761765</v>
      </c>
      <c r="E13" s="1" t="s">
        <v>12</v>
      </c>
    </row>
    <row r="14" spans="1:5" ht="15" customHeight="1" x14ac:dyDescent="0.25">
      <c r="A14" s="5" t="s">
        <v>13</v>
      </c>
      <c r="B14" s="7">
        <v>12</v>
      </c>
    </row>
    <row r="15" spans="1:5" ht="15" customHeight="1" x14ac:dyDescent="0.25">
      <c r="A15" s="5" t="s">
        <v>14</v>
      </c>
      <c r="B15" s="8">
        <v>0</v>
      </c>
      <c r="E15" s="1" t="s">
        <v>15</v>
      </c>
    </row>
    <row r="16" spans="1:5" ht="15" customHeight="1" x14ac:dyDescent="0.25">
      <c r="A16" s="3" t="s">
        <v>16</v>
      </c>
      <c r="B16" s="9">
        <f>B13*B14+B15</f>
        <v>273141180</v>
      </c>
      <c r="C16" s="10" t="s">
        <v>17</v>
      </c>
    </row>
    <row r="18" spans="1:5" ht="15" customHeight="1" x14ac:dyDescent="0.25">
      <c r="A18" s="18" t="s">
        <v>18</v>
      </c>
      <c r="B18" s="18"/>
      <c r="C18" s="18"/>
    </row>
    <row r="19" spans="1:5" ht="15" customHeight="1" x14ac:dyDescent="0.25">
      <c r="A19" s="5" t="s">
        <v>19</v>
      </c>
      <c r="B19" s="11">
        <v>0.04</v>
      </c>
    </row>
    <row r="20" spans="1:5" ht="15" customHeight="1" x14ac:dyDescent="0.25">
      <c r="A20" s="5" t="s">
        <v>20</v>
      </c>
      <c r="B20" s="11">
        <v>0.04</v>
      </c>
    </row>
    <row r="21" spans="1:5" ht="15" customHeight="1" x14ac:dyDescent="0.25">
      <c r="A21" s="5" t="s">
        <v>21</v>
      </c>
      <c r="B21" s="11">
        <v>0.01</v>
      </c>
      <c r="E21" s="1" t="s">
        <v>22</v>
      </c>
    </row>
    <row r="22" spans="1:5" ht="15" customHeight="1" x14ac:dyDescent="0.25">
      <c r="A22" s="5" t="s">
        <v>23</v>
      </c>
      <c r="B22" s="12">
        <f>B13*0.7</f>
        <v>15933235.499999998</v>
      </c>
      <c r="E22" s="1" t="s">
        <v>24</v>
      </c>
    </row>
    <row r="23" spans="1:5" ht="15" customHeight="1" x14ac:dyDescent="0.25">
      <c r="A23" s="5" t="s">
        <v>25</v>
      </c>
      <c r="B23" s="12">
        <f>B22*B19*12</f>
        <v>7647953.0399999991</v>
      </c>
    </row>
    <row r="24" spans="1:5" ht="15" customHeight="1" x14ac:dyDescent="0.25">
      <c r="A24" s="5" t="s">
        <v>26</v>
      </c>
      <c r="B24" s="12">
        <f>B22*B20*12</f>
        <v>7647953.0399999991</v>
      </c>
    </row>
    <row r="25" spans="1:5" ht="15" customHeight="1" x14ac:dyDescent="0.25">
      <c r="A25" s="5" t="s">
        <v>27</v>
      </c>
      <c r="B25" s="12">
        <f>B22*B21*12</f>
        <v>1911988.2599999998</v>
      </c>
    </row>
    <row r="26" spans="1:5" ht="15" customHeight="1" x14ac:dyDescent="0.25">
      <c r="A26" s="3" t="s">
        <v>28</v>
      </c>
      <c r="B26" s="13">
        <f>SUM(B23:B25)</f>
        <v>17207894.339999996</v>
      </c>
      <c r="C26" s="10" t="s">
        <v>29</v>
      </c>
    </row>
    <row r="27" spans="1:5" ht="15" customHeight="1" x14ac:dyDescent="0.25">
      <c r="A27" s="3" t="s">
        <v>30</v>
      </c>
      <c r="B27" s="13">
        <f>B16-B26</f>
        <v>255933285.66</v>
      </c>
      <c r="C27" s="10" t="s">
        <v>31</v>
      </c>
    </row>
    <row r="29" spans="1:5" ht="19.5" customHeight="1" x14ac:dyDescent="0.25">
      <c r="A29" s="17" t="s">
        <v>32</v>
      </c>
      <c r="B29" s="17"/>
      <c r="C29" s="17"/>
    </row>
    <row r="30" spans="1:5" ht="15" customHeight="1" x14ac:dyDescent="0.25">
      <c r="A30" s="5" t="s">
        <v>33</v>
      </c>
      <c r="B30" s="8">
        <v>0</v>
      </c>
      <c r="C30" s="10" t="s">
        <v>34</v>
      </c>
    </row>
    <row r="31" spans="1:5" ht="15" customHeight="1" x14ac:dyDescent="0.25">
      <c r="A31" s="5" t="s">
        <v>35</v>
      </c>
      <c r="B31" s="8">
        <v>0</v>
      </c>
      <c r="C31" s="10" t="s">
        <v>36</v>
      </c>
    </row>
    <row r="32" spans="1:5" ht="15" customHeight="1" x14ac:dyDescent="0.25">
      <c r="A32" s="3" t="s">
        <v>37</v>
      </c>
      <c r="B32" s="13">
        <f>B30-B31</f>
        <v>0</v>
      </c>
      <c r="C32" s="10" t="s">
        <v>38</v>
      </c>
    </row>
    <row r="34" spans="1:5" ht="19.5" customHeight="1" x14ac:dyDescent="0.25">
      <c r="A34" s="17" t="s">
        <v>39</v>
      </c>
      <c r="B34" s="17"/>
      <c r="C34" s="17"/>
    </row>
    <row r="35" spans="1:5" ht="15" customHeight="1" x14ac:dyDescent="0.25">
      <c r="A35" s="5" t="s">
        <v>40</v>
      </c>
      <c r="B35" s="8">
        <v>10000000</v>
      </c>
      <c r="C35" s="10" t="s">
        <v>41</v>
      </c>
    </row>
    <row r="36" spans="1:5" ht="15" customHeight="1" x14ac:dyDescent="0.25">
      <c r="A36" s="5" t="s">
        <v>42</v>
      </c>
      <c r="B36" s="8">
        <v>5000000</v>
      </c>
      <c r="C36" s="10" t="s">
        <v>43</v>
      </c>
    </row>
    <row r="37" spans="1:5" ht="15" customHeight="1" x14ac:dyDescent="0.25">
      <c r="A37" s="3" t="s">
        <v>44</v>
      </c>
      <c r="B37" s="13">
        <f>B35-B36</f>
        <v>5000000</v>
      </c>
      <c r="C37" s="10" t="s">
        <v>45</v>
      </c>
    </row>
    <row r="39" spans="1:5" ht="15" customHeight="1" x14ac:dyDescent="0.25">
      <c r="A39" s="18" t="s">
        <v>46</v>
      </c>
      <c r="B39" s="18"/>
      <c r="C39" s="18"/>
    </row>
    <row r="40" spans="1:5" ht="15" customHeight="1" x14ac:dyDescent="0.25">
      <c r="A40" s="16" t="s">
        <v>47</v>
      </c>
      <c r="B40" s="16"/>
      <c r="C40" s="16"/>
      <c r="D40" s="16"/>
      <c r="E40" s="16"/>
    </row>
    <row r="41" spans="1:5" ht="15" customHeight="1" x14ac:dyDescent="0.25">
      <c r="A41" s="5" t="s">
        <v>48</v>
      </c>
      <c r="B41" s="8">
        <v>0</v>
      </c>
      <c r="E41" s="1" t="s">
        <v>49</v>
      </c>
    </row>
    <row r="42" spans="1:5" ht="15" customHeight="1" x14ac:dyDescent="0.25">
      <c r="A42" s="5" t="s">
        <v>50</v>
      </c>
      <c r="B42" s="11">
        <v>0.55430000000000001</v>
      </c>
      <c r="E42" s="1" t="s">
        <v>51</v>
      </c>
    </row>
    <row r="43" spans="1:5" ht="15" customHeight="1" x14ac:dyDescent="0.25">
      <c r="A43" s="3" t="s">
        <v>52</v>
      </c>
      <c r="B43" s="13">
        <f>B41*B42</f>
        <v>0</v>
      </c>
      <c r="E43" s="1" t="s">
        <v>53</v>
      </c>
    </row>
    <row r="45" spans="1:5" ht="19.5" customHeight="1" x14ac:dyDescent="0.25">
      <c r="A45" s="17" t="s">
        <v>54</v>
      </c>
      <c r="B45" s="17"/>
      <c r="C45" s="17"/>
    </row>
    <row r="46" spans="1:5" ht="15" customHeight="1" x14ac:dyDescent="0.25">
      <c r="A46" s="3" t="s">
        <v>55</v>
      </c>
      <c r="B46" s="13">
        <f>B27+B32+B37</f>
        <v>260933285.66</v>
      </c>
      <c r="C46" s="10" t="s">
        <v>56</v>
      </c>
    </row>
    <row r="48" spans="1:5" ht="19.5" customHeight="1" x14ac:dyDescent="0.25">
      <c r="A48" s="17" t="s">
        <v>57</v>
      </c>
      <c r="B48" s="17"/>
      <c r="C48" s="17"/>
    </row>
    <row r="49" spans="1:5" ht="15" customHeight="1" x14ac:dyDescent="0.25">
      <c r="A49" s="5" t="s">
        <v>58</v>
      </c>
      <c r="B49" s="8">
        <v>0</v>
      </c>
      <c r="E49" s="1" t="s">
        <v>59</v>
      </c>
    </row>
    <row r="50" spans="1:5" ht="15" customHeight="1" x14ac:dyDescent="0.25">
      <c r="A50" s="5" t="s">
        <v>60</v>
      </c>
      <c r="B50" s="8">
        <v>0</v>
      </c>
      <c r="E50" s="1" t="s">
        <v>61</v>
      </c>
    </row>
    <row r="51" spans="1:5" ht="15" customHeight="1" x14ac:dyDescent="0.25">
      <c r="A51" s="3" t="s">
        <v>62</v>
      </c>
      <c r="B51" s="9">
        <f>B49+B50</f>
        <v>0</v>
      </c>
      <c r="C51" s="10" t="s">
        <v>63</v>
      </c>
    </row>
    <row r="52" spans="1:5" ht="15" customHeight="1" x14ac:dyDescent="0.25">
      <c r="A52" s="5" t="s">
        <v>64</v>
      </c>
      <c r="B52" s="8">
        <v>0</v>
      </c>
      <c r="C52" s="10" t="s">
        <v>65</v>
      </c>
    </row>
    <row r="53" spans="1:5" ht="15" customHeight="1" x14ac:dyDescent="0.25">
      <c r="A53" s="5" t="s">
        <v>66</v>
      </c>
      <c r="B53" s="11">
        <v>0.25</v>
      </c>
    </row>
    <row r="54" spans="1:5" ht="15" customHeight="1" x14ac:dyDescent="0.25">
      <c r="A54" s="5" t="s">
        <v>67</v>
      </c>
      <c r="B54" s="7">
        <v>790</v>
      </c>
    </row>
    <row r="55" spans="1:5" ht="15" customHeight="1" x14ac:dyDescent="0.25">
      <c r="A55" s="3" t="s">
        <v>68</v>
      </c>
      <c r="B55" s="9">
        <f>MIN(B27*B53,B54*B8)</f>
        <v>41375460</v>
      </c>
      <c r="C55" s="10" t="s">
        <v>69</v>
      </c>
    </row>
    <row r="56" spans="1:5" ht="15" customHeight="1" x14ac:dyDescent="0.25">
      <c r="A56" s="5" t="s">
        <v>70</v>
      </c>
      <c r="B56" s="7">
        <v>32</v>
      </c>
    </row>
    <row r="57" spans="1:5" ht="15" customHeight="1" x14ac:dyDescent="0.25">
      <c r="A57" s="3" t="s">
        <v>71</v>
      </c>
      <c r="B57" s="9">
        <f>MIN(B16*0.1,B56*B8*12)</f>
        <v>20111616</v>
      </c>
      <c r="C57" s="10" t="s">
        <v>72</v>
      </c>
    </row>
    <row r="58" spans="1:5" ht="15" customHeight="1" x14ac:dyDescent="0.25">
      <c r="A58" s="5" t="s">
        <v>73</v>
      </c>
      <c r="B58" s="8">
        <v>4437700</v>
      </c>
      <c r="E58" s="1" t="s">
        <v>74</v>
      </c>
    </row>
    <row r="59" spans="1:5" ht="15" customHeight="1" x14ac:dyDescent="0.25">
      <c r="A59" s="5" t="s">
        <v>75</v>
      </c>
      <c r="B59" s="7">
        <v>16</v>
      </c>
    </row>
    <row r="60" spans="1:5" ht="15" customHeight="1" x14ac:dyDescent="0.25">
      <c r="A60" s="3" t="s">
        <v>76</v>
      </c>
      <c r="B60" s="9">
        <f>MIN(B58,B59*B8*12)</f>
        <v>4437700</v>
      </c>
      <c r="C60" s="10" t="s">
        <v>72</v>
      </c>
    </row>
    <row r="61" spans="1:5" ht="15" customHeight="1" x14ac:dyDescent="0.25">
      <c r="A61" s="5" t="s">
        <v>77</v>
      </c>
      <c r="B61" s="8">
        <v>0</v>
      </c>
      <c r="C61" s="10" t="s">
        <v>72</v>
      </c>
    </row>
    <row r="62" spans="1:5" ht="15" customHeight="1" x14ac:dyDescent="0.25">
      <c r="A62" s="5" t="s">
        <v>78</v>
      </c>
      <c r="B62" s="12">
        <f>B51+B52+B55+B57+B60+B61</f>
        <v>65924776</v>
      </c>
    </row>
    <row r="64" spans="1:5" ht="15" customHeight="1" x14ac:dyDescent="0.25">
      <c r="A64" s="5" t="s">
        <v>79</v>
      </c>
      <c r="B64" s="11">
        <v>0.4</v>
      </c>
    </row>
    <row r="65" spans="1:5" ht="15" customHeight="1" x14ac:dyDescent="0.25">
      <c r="A65" s="5" t="s">
        <v>80</v>
      </c>
      <c r="B65" s="7">
        <v>1340</v>
      </c>
    </row>
    <row r="66" spans="1:5" ht="15" customHeight="1" x14ac:dyDescent="0.25">
      <c r="A66" s="3" t="s">
        <v>81</v>
      </c>
      <c r="B66" s="9">
        <f>MIN(B46*B64,B65*B8)</f>
        <v>70181160</v>
      </c>
    </row>
    <row r="67" spans="1:5" ht="15" customHeight="1" x14ac:dyDescent="0.25">
      <c r="A67" s="3" t="s">
        <v>82</v>
      </c>
      <c r="B67" s="13">
        <f>MIN(B62,B66)</f>
        <v>65924776</v>
      </c>
      <c r="C67" s="10" t="s">
        <v>83</v>
      </c>
    </row>
    <row r="69" spans="1:5" ht="19.5" customHeight="1" x14ac:dyDescent="0.25">
      <c r="A69" s="17" t="s">
        <v>84</v>
      </c>
      <c r="B69" s="17"/>
      <c r="C69" s="17"/>
    </row>
    <row r="70" spans="1:5" ht="15" customHeight="1" x14ac:dyDescent="0.25">
      <c r="A70" s="5" t="s">
        <v>85</v>
      </c>
      <c r="B70" s="7">
        <v>72</v>
      </c>
    </row>
    <row r="71" spans="1:5" ht="15" customHeight="1" x14ac:dyDescent="0.25">
      <c r="A71" s="3" t="s">
        <v>86</v>
      </c>
      <c r="B71" s="13">
        <f>MIN(B10,4)*B70*B8</f>
        <v>7541856</v>
      </c>
      <c r="C71" s="10" t="s">
        <v>87</v>
      </c>
      <c r="E71" s="1" t="s">
        <v>88</v>
      </c>
    </row>
    <row r="72" spans="1:5" ht="15" customHeight="1" x14ac:dyDescent="0.25">
      <c r="A72" s="5" t="s">
        <v>89</v>
      </c>
      <c r="B72" s="8">
        <v>0</v>
      </c>
      <c r="E72" s="1" t="s">
        <v>90</v>
      </c>
    </row>
    <row r="73" spans="1:5" ht="15" customHeight="1" x14ac:dyDescent="0.25">
      <c r="A73" s="5" t="s">
        <v>91</v>
      </c>
      <c r="B73" s="7">
        <v>240</v>
      </c>
    </row>
    <row r="74" spans="1:5" ht="15" customHeight="1" x14ac:dyDescent="0.25">
      <c r="A74" s="3" t="s">
        <v>92</v>
      </c>
      <c r="B74" s="13">
        <f>MIN(B72*0.01,B73*B8)</f>
        <v>0</v>
      </c>
      <c r="C74" s="10" t="s">
        <v>93</v>
      </c>
      <c r="E74" s="1" t="s">
        <v>94</v>
      </c>
    </row>
    <row r="76" spans="1:5" ht="15" customHeight="1" x14ac:dyDescent="0.25">
      <c r="A76" s="3" t="s">
        <v>95</v>
      </c>
      <c r="B76" s="13">
        <f>B67+B71+B74</f>
        <v>73466632</v>
      </c>
      <c r="C76" s="10" t="s">
        <v>96</v>
      </c>
    </row>
    <row r="78" spans="1:5" ht="19.5" customHeight="1" x14ac:dyDescent="0.25">
      <c r="A78" s="17" t="s">
        <v>97</v>
      </c>
      <c r="B78" s="17"/>
      <c r="C78" s="17"/>
    </row>
    <row r="79" spans="1:5" ht="15" customHeight="1" x14ac:dyDescent="0.25">
      <c r="A79" s="3" t="s">
        <v>97</v>
      </c>
      <c r="B79" s="13">
        <f>B46-B76</f>
        <v>187466653.66</v>
      </c>
      <c r="C79" s="10" t="s">
        <v>98</v>
      </c>
    </row>
    <row r="80" spans="1:5" ht="15" customHeight="1" x14ac:dyDescent="0.25">
      <c r="A80" s="5" t="s">
        <v>99</v>
      </c>
      <c r="B80" s="14">
        <f>B79/B8</f>
        <v>3579.3839244663382</v>
      </c>
    </row>
    <row r="82" spans="1:3" ht="19.5" customHeight="1" x14ac:dyDescent="0.25">
      <c r="A82" s="17" t="s">
        <v>100</v>
      </c>
      <c r="B82" s="17"/>
      <c r="C82" s="17"/>
    </row>
    <row r="83" spans="1:3" ht="15" customHeight="1" x14ac:dyDescent="0.25">
      <c r="A83" s="3" t="s">
        <v>101</v>
      </c>
      <c r="B83" s="3" t="s">
        <v>102</v>
      </c>
      <c r="C83" s="3" t="s">
        <v>103</v>
      </c>
    </row>
    <row r="84" spans="1:3" ht="15" customHeight="1" x14ac:dyDescent="0.25">
      <c r="A84" s="5" t="s">
        <v>104</v>
      </c>
      <c r="B84" s="15">
        <v>0</v>
      </c>
      <c r="C84" s="1" t="s">
        <v>105</v>
      </c>
    </row>
    <row r="85" spans="1:3" ht="15" customHeight="1" x14ac:dyDescent="0.25">
      <c r="A85" s="5" t="s">
        <v>106</v>
      </c>
      <c r="B85" s="15">
        <v>0.19</v>
      </c>
      <c r="C85" s="1" t="s">
        <v>107</v>
      </c>
    </row>
    <row r="86" spans="1:3" ht="15" customHeight="1" x14ac:dyDescent="0.25">
      <c r="A86" s="5" t="s">
        <v>108</v>
      </c>
      <c r="B86" s="15">
        <v>0.28000000000000003</v>
      </c>
      <c r="C86" s="1" t="s">
        <v>109</v>
      </c>
    </row>
    <row r="87" spans="1:3" ht="15" customHeight="1" x14ac:dyDescent="0.25">
      <c r="A87" s="5" t="s">
        <v>110</v>
      </c>
      <c r="B87" s="15">
        <v>0.33</v>
      </c>
      <c r="C87" s="1" t="s">
        <v>111</v>
      </c>
    </row>
    <row r="88" spans="1:3" ht="15" customHeight="1" x14ac:dyDescent="0.25">
      <c r="A88" s="5" t="s">
        <v>112</v>
      </c>
      <c r="B88" s="15">
        <v>0.35</v>
      </c>
      <c r="C88" s="1" t="s">
        <v>113</v>
      </c>
    </row>
    <row r="89" spans="1:3" ht="15" customHeight="1" x14ac:dyDescent="0.25">
      <c r="A89" s="5" t="s">
        <v>114</v>
      </c>
      <c r="B89" s="15">
        <v>0.37</v>
      </c>
      <c r="C89" s="1" t="s">
        <v>115</v>
      </c>
    </row>
    <row r="90" spans="1:3" ht="15" customHeight="1" x14ac:dyDescent="0.25">
      <c r="A90" s="5" t="s">
        <v>116</v>
      </c>
      <c r="B90" s="15">
        <v>0.39</v>
      </c>
      <c r="C90" s="1" t="s">
        <v>117</v>
      </c>
    </row>
    <row r="92" spans="1:3" ht="15" customHeight="1" x14ac:dyDescent="0.25">
      <c r="A92" s="5" t="s">
        <v>118</v>
      </c>
      <c r="B92" s="14">
        <f>IF(B80&lt;=1090,0,IF(B80&lt;=1700,(B80-1090)*0.19,IF(B80&lt;=4100,((B80-1700)*0.28)+116,IF(B80&lt;=8670,((B80-4100)*0.33)+788,IF(B80&lt;=18970,((B80-8670)*0.35)+2296,IF(B80&lt;=31000,((B80-18970)*0.37)+5901,((B80-31000)*0.39)+10352))))))</f>
        <v>642.22749885057476</v>
      </c>
    </row>
    <row r="93" spans="1:3" ht="15" customHeight="1" x14ac:dyDescent="0.25">
      <c r="A93" s="5" t="s">
        <v>119</v>
      </c>
      <c r="B93" s="8">
        <v>0</v>
      </c>
      <c r="C93" s="10" t="s">
        <v>120</v>
      </c>
    </row>
    <row r="94" spans="1:3" ht="15" customHeight="1" x14ac:dyDescent="0.25">
      <c r="A94" s="3" t="s">
        <v>121</v>
      </c>
      <c r="B94" s="13">
        <f>B92*B8+B93</f>
        <v>33636023.024800003</v>
      </c>
      <c r="C94" s="10" t="s">
        <v>122</v>
      </c>
    </row>
    <row r="96" spans="1:3" ht="19.5" customHeight="1" x14ac:dyDescent="0.25">
      <c r="A96" s="17" t="s">
        <v>123</v>
      </c>
      <c r="B96" s="17"/>
      <c r="C96" s="17"/>
    </row>
    <row r="97" spans="1:3" ht="15" customHeight="1" x14ac:dyDescent="0.25">
      <c r="A97" s="18" t="s">
        <v>124</v>
      </c>
      <c r="B97" s="18"/>
      <c r="C97" s="18"/>
    </row>
    <row r="98" spans="1:3" ht="15" customHeight="1" x14ac:dyDescent="0.25">
      <c r="A98" s="5" t="s">
        <v>125</v>
      </c>
      <c r="B98" s="8">
        <v>2861000</v>
      </c>
    </row>
    <row r="99" spans="1:3" ht="15" customHeight="1" x14ac:dyDescent="0.25">
      <c r="A99" s="5" t="s">
        <v>126</v>
      </c>
      <c r="B99" s="8">
        <v>2861000</v>
      </c>
    </row>
    <row r="100" spans="1:3" ht="15" customHeight="1" x14ac:dyDescent="0.25">
      <c r="A100" s="5" t="s">
        <v>127</v>
      </c>
      <c r="B100" s="8">
        <v>2737000</v>
      </c>
    </row>
    <row r="101" spans="1:3" ht="15" customHeight="1" x14ac:dyDescent="0.25">
      <c r="A101" s="5" t="s">
        <v>128</v>
      </c>
      <c r="B101" s="8">
        <v>2737000</v>
      </c>
    </row>
    <row r="102" spans="1:3" ht="15" customHeight="1" x14ac:dyDescent="0.25">
      <c r="A102" s="5" t="s">
        <v>129</v>
      </c>
      <c r="B102" s="8">
        <v>2737000</v>
      </c>
    </row>
    <row r="103" spans="1:3" ht="15" customHeight="1" x14ac:dyDescent="0.25">
      <c r="A103" s="5" t="s">
        <v>130</v>
      </c>
      <c r="B103" s="8">
        <v>2737000</v>
      </c>
    </row>
    <row r="104" spans="1:3" ht="15" customHeight="1" x14ac:dyDescent="0.25">
      <c r="A104" s="5" t="s">
        <v>131</v>
      </c>
      <c r="B104" s="8">
        <v>2737000</v>
      </c>
    </row>
    <row r="105" spans="1:3" ht="15" customHeight="1" x14ac:dyDescent="0.25">
      <c r="A105" s="5" t="s">
        <v>132</v>
      </c>
      <c r="B105" s="8">
        <v>2737000</v>
      </c>
    </row>
    <row r="106" spans="1:3" ht="15" customHeight="1" x14ac:dyDescent="0.25">
      <c r="A106" s="5" t="s">
        <v>133</v>
      </c>
      <c r="B106" s="8">
        <v>2737000</v>
      </c>
    </row>
    <row r="107" spans="1:3" ht="15" customHeight="1" x14ac:dyDescent="0.25">
      <c r="A107" s="5" t="s">
        <v>134</v>
      </c>
      <c r="B107" s="8">
        <v>2737000</v>
      </c>
    </row>
    <row r="108" spans="1:3" ht="15" customHeight="1" x14ac:dyDescent="0.25">
      <c r="A108" s="5" t="s">
        <v>135</v>
      </c>
      <c r="B108" s="8">
        <v>2737000</v>
      </c>
    </row>
    <row r="109" spans="1:3" ht="15" customHeight="1" x14ac:dyDescent="0.25">
      <c r="A109" s="5" t="s">
        <v>136</v>
      </c>
      <c r="B109" s="8">
        <v>2737000</v>
      </c>
    </row>
    <row r="110" spans="1:3" ht="15" customHeight="1" x14ac:dyDescent="0.25">
      <c r="A110" s="5" t="s">
        <v>137</v>
      </c>
      <c r="B110" s="12">
        <f>SUM(B98:B109)</f>
        <v>33092000</v>
      </c>
    </row>
    <row r="112" spans="1:3" ht="15" customHeight="1" x14ac:dyDescent="0.25">
      <c r="A112" s="18" t="s">
        <v>138</v>
      </c>
      <c r="B112" s="18"/>
      <c r="C112" s="18"/>
    </row>
    <row r="113" spans="1:5" ht="15" customHeight="1" x14ac:dyDescent="0.25">
      <c r="A113" s="16" t="s">
        <v>139</v>
      </c>
      <c r="B113" s="16"/>
      <c r="C113" s="16"/>
      <c r="D113" s="16"/>
      <c r="E113" s="16"/>
    </row>
    <row r="114" spans="1:5" ht="15" customHeight="1" x14ac:dyDescent="0.25">
      <c r="A114" s="5" t="s">
        <v>140</v>
      </c>
      <c r="B114" s="8">
        <v>350000</v>
      </c>
    </row>
    <row r="115" spans="1:5" ht="15" customHeight="1" x14ac:dyDescent="0.25">
      <c r="A115" s="5" t="s">
        <v>141</v>
      </c>
      <c r="B115" s="8">
        <v>0</v>
      </c>
    </row>
    <row r="116" spans="1:5" ht="15" customHeight="1" x14ac:dyDescent="0.25">
      <c r="A116" s="5" t="s">
        <v>142</v>
      </c>
      <c r="B116" s="8">
        <v>0</v>
      </c>
    </row>
    <row r="117" spans="1:5" ht="15" customHeight="1" x14ac:dyDescent="0.25">
      <c r="A117" s="5" t="s">
        <v>143</v>
      </c>
      <c r="B117" s="8">
        <v>0</v>
      </c>
    </row>
    <row r="118" spans="1:5" ht="15" customHeight="1" x14ac:dyDescent="0.25">
      <c r="A118" s="5" t="s">
        <v>144</v>
      </c>
      <c r="B118" s="12">
        <f>SUM(B114:B117)</f>
        <v>350000</v>
      </c>
    </row>
    <row r="120" spans="1:5" ht="15" customHeight="1" x14ac:dyDescent="0.25">
      <c r="A120" s="3" t="s">
        <v>145</v>
      </c>
      <c r="B120" s="13">
        <f>B110+B118</f>
        <v>33442000</v>
      </c>
      <c r="C120" s="10" t="s">
        <v>146</v>
      </c>
    </row>
    <row r="121" spans="1:5" ht="15" customHeight="1" x14ac:dyDescent="0.25">
      <c r="A121" s="5" t="s">
        <v>147</v>
      </c>
      <c r="B121" s="8">
        <v>0</v>
      </c>
      <c r="C121" s="10" t="s">
        <v>148</v>
      </c>
    </row>
    <row r="122" spans="1:5" ht="15" customHeight="1" x14ac:dyDescent="0.25">
      <c r="A122" s="5" t="s">
        <v>149</v>
      </c>
      <c r="B122" s="8">
        <v>0</v>
      </c>
      <c r="C122" s="10" t="s">
        <v>150</v>
      </c>
    </row>
    <row r="124" spans="1:5" ht="19.5" customHeight="1" x14ac:dyDescent="0.25">
      <c r="A124" s="17" t="s">
        <v>151</v>
      </c>
      <c r="B124" s="17"/>
      <c r="C124" s="17"/>
    </row>
    <row r="125" spans="1:5" ht="15" customHeight="1" x14ac:dyDescent="0.25">
      <c r="A125" s="3" t="s">
        <v>152</v>
      </c>
      <c r="B125" s="9">
        <f>B94</f>
        <v>33636023.024800003</v>
      </c>
      <c r="C125" s="10" t="s">
        <v>153</v>
      </c>
    </row>
    <row r="126" spans="1:5" ht="15" customHeight="1" x14ac:dyDescent="0.25">
      <c r="A126" s="3" t="s">
        <v>154</v>
      </c>
      <c r="B126" s="9">
        <f>B120+B121+B122</f>
        <v>33442000</v>
      </c>
    </row>
    <row r="127" spans="1:5" ht="15" customHeight="1" x14ac:dyDescent="0.25">
      <c r="A127" s="3" t="s">
        <v>155</v>
      </c>
      <c r="B127" s="13">
        <f>MAX(B125-B126,0)</f>
        <v>194023.02480000257</v>
      </c>
      <c r="C127" s="10" t="s">
        <v>156</v>
      </c>
    </row>
    <row r="128" spans="1:5" ht="15" customHeight="1" x14ac:dyDescent="0.25">
      <c r="A128" s="3" t="s">
        <v>157</v>
      </c>
      <c r="B128" s="13">
        <f>MAX(B126-B125,0)</f>
        <v>0</v>
      </c>
      <c r="C128" s="10" t="s">
        <v>158</v>
      </c>
    </row>
    <row r="130" spans="1:5" ht="19.5" customHeight="1" x14ac:dyDescent="0.25">
      <c r="A130" s="17" t="s">
        <v>159</v>
      </c>
      <c r="B130" s="17"/>
      <c r="C130" s="17"/>
    </row>
    <row r="131" spans="1:5" ht="15" customHeight="1" x14ac:dyDescent="0.25">
      <c r="A131" s="5" t="s">
        <v>160</v>
      </c>
      <c r="B131" s="12">
        <f>(B16+B30+B35)/12</f>
        <v>23595098.333333332</v>
      </c>
    </row>
    <row r="132" spans="1:5" ht="15" customHeight="1" x14ac:dyDescent="0.25">
      <c r="A132" s="5" t="s">
        <v>161</v>
      </c>
      <c r="B132" s="12">
        <f>B26/12</f>
        <v>1433991.1949999996</v>
      </c>
    </row>
    <row r="133" spans="1:5" ht="15" customHeight="1" x14ac:dyDescent="0.25">
      <c r="A133" s="5" t="s">
        <v>162</v>
      </c>
      <c r="B133" s="12">
        <f>B51/12</f>
        <v>0</v>
      </c>
    </row>
    <row r="134" spans="1:5" ht="15" customHeight="1" x14ac:dyDescent="0.25">
      <c r="A134" s="5" t="s">
        <v>163</v>
      </c>
      <c r="B134" s="12">
        <f>B120/12</f>
        <v>2786833.3333333335</v>
      </c>
    </row>
    <row r="135" spans="1:5" ht="15" customHeight="1" x14ac:dyDescent="0.25">
      <c r="A135" s="3" t="s">
        <v>164</v>
      </c>
      <c r="B135" s="13">
        <f>B131-B132-B133-B134</f>
        <v>19374273.805</v>
      </c>
      <c r="E135" s="1" t="s">
        <v>165</v>
      </c>
    </row>
    <row r="137" spans="1:5" ht="15" customHeight="1" x14ac:dyDescent="0.25">
      <c r="A137" s="3" t="s">
        <v>166</v>
      </c>
      <c r="B137" s="13">
        <f>B127/12</f>
        <v>16168.585400000215</v>
      </c>
      <c r="E137" s="1" t="s">
        <v>167</v>
      </c>
    </row>
    <row r="139" spans="1:5" ht="15" customHeight="1" x14ac:dyDescent="0.25">
      <c r="A139" s="18" t="s">
        <v>168</v>
      </c>
      <c r="B139" s="18"/>
      <c r="C139" s="18"/>
    </row>
    <row r="140" spans="1:5" ht="15" customHeight="1" x14ac:dyDescent="0.25">
      <c r="A140" s="5" t="s">
        <v>169</v>
      </c>
      <c r="B140" s="12">
        <f>B52+B55+B57+B60+B61</f>
        <v>65924776</v>
      </c>
    </row>
    <row r="141" spans="1:5" ht="15" customHeight="1" x14ac:dyDescent="0.25">
      <c r="A141" s="5" t="s">
        <v>170</v>
      </c>
      <c r="B141" s="12">
        <f>MAX(B66-B140,0)</f>
        <v>4256384</v>
      </c>
    </row>
    <row r="142" spans="1:5" ht="15" customHeight="1" x14ac:dyDescent="0.25">
      <c r="A142" s="5" t="s">
        <v>171</v>
      </c>
      <c r="B142" s="7">
        <v>3800</v>
      </c>
    </row>
    <row r="143" spans="1:5" ht="15" customHeight="1" x14ac:dyDescent="0.25">
      <c r="A143" s="5" t="s">
        <v>172</v>
      </c>
      <c r="B143" s="11">
        <v>0.3</v>
      </c>
    </row>
    <row r="144" spans="1:5" ht="15" customHeight="1" x14ac:dyDescent="0.25">
      <c r="A144" s="5" t="s">
        <v>173</v>
      </c>
      <c r="B144" s="12">
        <f>MIN(B142*B8,(B16+B30+B35)*B143)</f>
        <v>84942354</v>
      </c>
    </row>
    <row r="145" spans="1:5" ht="15" customHeight="1" x14ac:dyDescent="0.25">
      <c r="A145" s="3" t="s">
        <v>174</v>
      </c>
      <c r="B145" s="13">
        <f>MIN(B141,B144)</f>
        <v>4256384</v>
      </c>
    </row>
    <row r="146" spans="1:5" ht="15" customHeight="1" x14ac:dyDescent="0.25">
      <c r="A146" s="3" t="s">
        <v>175</v>
      </c>
      <c r="B146" s="9">
        <f>MAX(B145-B51,0)</f>
        <v>4256384</v>
      </c>
    </row>
    <row r="147" spans="1:5" ht="15" customHeight="1" x14ac:dyDescent="0.25">
      <c r="A147" s="5" t="s">
        <v>176</v>
      </c>
      <c r="B147" s="12">
        <f>B146/12</f>
        <v>354698.66666666669</v>
      </c>
    </row>
    <row r="150" spans="1:5" ht="19.5" customHeight="1" x14ac:dyDescent="0.25">
      <c r="A150" s="17" t="s">
        <v>177</v>
      </c>
      <c r="B150" s="17"/>
      <c r="C150" s="17"/>
    </row>
    <row r="151" spans="1:5" ht="15" customHeight="1" x14ac:dyDescent="0.25">
      <c r="A151" s="16" t="s">
        <v>178</v>
      </c>
      <c r="B151" s="16"/>
      <c r="C151" s="16"/>
      <c r="D151" s="16"/>
      <c r="E151" s="16"/>
    </row>
    <row r="152" spans="1:5" ht="15" customHeight="1" x14ac:dyDescent="0.25">
      <c r="A152" s="16" t="s">
        <v>179</v>
      </c>
      <c r="B152" s="16"/>
      <c r="C152" s="16"/>
      <c r="D152" s="16"/>
      <c r="E152" s="16"/>
    </row>
    <row r="153" spans="1:5" ht="15" customHeight="1" x14ac:dyDescent="0.25">
      <c r="A153" s="16" t="s">
        <v>180</v>
      </c>
      <c r="B153" s="16"/>
      <c r="C153" s="16"/>
      <c r="D153" s="16"/>
      <c r="E153" s="16"/>
    </row>
    <row r="154" spans="1:5" ht="15" customHeight="1" x14ac:dyDescent="0.25">
      <c r="A154" s="16" t="s">
        <v>181</v>
      </c>
      <c r="B154" s="16"/>
      <c r="C154" s="16"/>
      <c r="D154" s="16"/>
      <c r="E154" s="16"/>
    </row>
    <row r="155" spans="1:5" ht="15" customHeight="1" x14ac:dyDescent="0.25">
      <c r="A155" s="16" t="s">
        <v>182</v>
      </c>
      <c r="B155" s="16"/>
      <c r="C155" s="16"/>
      <c r="D155" s="16"/>
      <c r="E155" s="16"/>
    </row>
    <row r="156" spans="1:5" ht="15" customHeight="1" x14ac:dyDescent="0.25">
      <c r="A156" s="16" t="s">
        <v>183</v>
      </c>
      <c r="B156" s="16"/>
      <c r="C156" s="16"/>
      <c r="D156" s="16"/>
      <c r="E156" s="16"/>
    </row>
    <row r="157" spans="1:5" ht="15" customHeight="1" x14ac:dyDescent="0.25">
      <c r="A157" s="16" t="s">
        <v>184</v>
      </c>
      <c r="B157" s="16"/>
      <c r="C157" s="16"/>
      <c r="D157" s="16"/>
      <c r="E157" s="16"/>
    </row>
  </sheetData>
  <mergeCells count="28">
    <mergeCell ref="A1:C1"/>
    <mergeCell ref="A7:C7"/>
    <mergeCell ref="A12:C12"/>
    <mergeCell ref="A18:C18"/>
    <mergeCell ref="A29:C29"/>
    <mergeCell ref="A34:C34"/>
    <mergeCell ref="A39:C39"/>
    <mergeCell ref="A40:E40"/>
    <mergeCell ref="A45:C45"/>
    <mergeCell ref="A48:C48"/>
    <mergeCell ref="A69:C69"/>
    <mergeCell ref="A78:C78"/>
    <mergeCell ref="A82:C82"/>
    <mergeCell ref="A96:C96"/>
    <mergeCell ref="A97:C97"/>
    <mergeCell ref="A112:C112"/>
    <mergeCell ref="A113:E113"/>
    <mergeCell ref="A124:C124"/>
    <mergeCell ref="A130:C130"/>
    <mergeCell ref="A139:C139"/>
    <mergeCell ref="A155:E155"/>
    <mergeCell ref="A156:E156"/>
    <mergeCell ref="A157:E157"/>
    <mergeCell ref="A150:C150"/>
    <mergeCell ref="A151:E151"/>
    <mergeCell ref="A152:E152"/>
    <mergeCell ref="A153:E153"/>
    <mergeCell ref="A154:E15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Simulador Renta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Moncada</cp:lastModifiedBy>
  <cp:revision>0</cp:revision>
  <dcterms:created xsi:type="dcterms:W3CDTF">2026-08-24T14:02:48Z</dcterms:created>
  <dcterms:modified xsi:type="dcterms:W3CDTF">2026-08-24T15:34:27Z</dcterms:modified>
  <dc:language>en-US</dc:language>
</cp:coreProperties>
</file>